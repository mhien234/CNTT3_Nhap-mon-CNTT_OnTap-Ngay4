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ikkei-app\Thực Hành MarkDown.Minh Hiển\starter-kit\starter-kit\van-phong-pham-website\data\"/>
    </mc:Choice>
  </mc:AlternateContent>
  <xr:revisionPtr revIDLastSave="0" documentId="8_{1674B911-E8D7-4A08-B9FC-E7884F906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F4" i="1"/>
  <c r="F5" i="1"/>
  <c r="F6" i="1"/>
  <c r="F7" i="1"/>
  <c r="F8" i="1"/>
  <c r="F9" i="1"/>
  <c r="G9" i="1" s="1"/>
  <c r="F10" i="1"/>
  <c r="F11" i="1"/>
  <c r="G11" i="1" s="1"/>
  <c r="F12" i="1"/>
  <c r="F13" i="1"/>
  <c r="F14" i="1"/>
  <c r="F15" i="1"/>
  <c r="F16" i="1"/>
  <c r="F3" i="1"/>
  <c r="F2" i="1"/>
  <c r="G2" i="1" s="1"/>
  <c r="E4" i="1"/>
  <c r="G4" i="1" s="1"/>
  <c r="E5" i="1"/>
  <c r="G5" i="1" s="1"/>
  <c r="E6" i="1"/>
  <c r="G6" i="1" s="1"/>
  <c r="E7" i="1"/>
  <c r="G7" i="1" s="1"/>
  <c r="E8" i="1"/>
  <c r="G8" i="1" s="1"/>
  <c r="E9" i="1"/>
  <c r="E10" i="1"/>
  <c r="G10" i="1" s="1"/>
  <c r="E11" i="1"/>
  <c r="E12" i="1"/>
  <c r="E13" i="1"/>
  <c r="E14" i="1"/>
  <c r="E15" i="1"/>
  <c r="E16" i="1"/>
  <c r="E3" i="1"/>
  <c r="G3" i="1" s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<sst xmlns="http://schemas.openxmlformats.org/spreadsheetml/2006/main" count="69" uniqueCount="51">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</sst>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3" sqref="I13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VLOOKUP(C2,SanPham!$A$7:$B$7,2,0)</f>
        <v>Ke sach mini</v>
      </c>
      <c r="F2">
        <f>VLOOKUP(C2,SanPham!$A$7:$C$7,3,0)</f>
        <v>100000</v>
      </c>
      <c r="G2">
        <f>SUM(D2:F2)</f>
        <v>100004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VLOOKUP(C3,SanPham!$A$2:$B$8,2,0)</f>
        <v>Balo hoc sinh</v>
      </c>
      <c r="F3">
        <f>VLOOKUP(C3,SanPham!$A$2:$C$8,3,0)</f>
        <v>250000</v>
      </c>
      <c r="G3">
        <f t="shared" ref="G3:G16" si="0">SUM(D3:F3)</f>
        <v>250004</v>
      </c>
    </row>
    <row r="4" spans="1:7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VLOOKUP(C4,SanPham!$A$2:$B$8,2,0)</f>
        <v>Loc vo 5 quyen</v>
      </c>
      <c r="F4">
        <f>VLOOKUP(C4,SanPham!$A$2:$C$8,3,0)</f>
        <v>60000</v>
      </c>
      <c r="G4">
        <f t="shared" si="0"/>
        <v>60002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VLOOKUP(C5,SanPham!$A$2:$B$8,2,0)</f>
        <v>Ke sach mini</v>
      </c>
      <c r="F5">
        <f>VLOOKUP(C5,SanPham!$A$2:$C$8,3,0)</f>
        <v>100000</v>
      </c>
      <c r="G5">
        <f t="shared" si="0"/>
        <v>100005</v>
      </c>
    </row>
    <row r="6" spans="1:7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VLOOKUP(C6,SanPham!$A$2:$B$8,2,0)</f>
        <v>Bo but bi 10 chiec</v>
      </c>
      <c r="F6">
        <f>VLOOKUP(C6,SanPham!$A$2:$C$8,3,0)</f>
        <v>35000</v>
      </c>
      <c r="G6">
        <f t="shared" si="0"/>
        <v>35001</v>
      </c>
    </row>
    <row r="7" spans="1:7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VLOOKUP(C7,SanPham!$A$2:$B$8,2,0)</f>
        <v>Bo but bi 10 chiec</v>
      </c>
      <c r="F7">
        <f>VLOOKUP(C7,SanPham!$A$2:$C$8,3,0)</f>
        <v>35000</v>
      </c>
      <c r="G7">
        <f t="shared" si="0"/>
        <v>35004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VLOOKUP(C8,SanPham!$A$2:$B$8,2,0)</f>
        <v>Balo hoc sinh</v>
      </c>
      <c r="F8">
        <f>VLOOKUP(C8,SanPham!$A$2:$C$8,3,0)</f>
        <v>250000</v>
      </c>
      <c r="G8">
        <f t="shared" si="0"/>
        <v>250005</v>
      </c>
    </row>
    <row r="9" spans="1:7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VLOOKUP(C9,SanPham!$A$2:$B$8,2,0)</f>
        <v>Loc vo 5 quyen</v>
      </c>
      <c r="F9">
        <f>VLOOKUP(C9,SanPham!$A$2:$C$8,3,0)</f>
        <v>60000</v>
      </c>
      <c r="G9">
        <f t="shared" si="0"/>
        <v>60003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VLOOKUP(C10,SanPham!$A$2:$B$8,2,0)</f>
        <v>Balo hoc sinh</v>
      </c>
      <c r="F10">
        <f>VLOOKUP(C10,SanPham!$A$2:$C$8,3,0)</f>
        <v>250000</v>
      </c>
      <c r="G10">
        <f t="shared" si="0"/>
        <v>250002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VLOOKUP(C11,SanPham!$A$2:$B$8,2,0)</f>
        <v>May tinh bo tui</v>
      </c>
      <c r="F11">
        <f>VLOOKUP(C11,SanPham!$A$2:$C$8,3,0)</f>
        <v>150000</v>
      </c>
      <c r="G11">
        <f t="shared" si="0"/>
        <v>150002</v>
      </c>
    </row>
    <row r="12" spans="1:7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VLOOKUP(C12,SanPham!$A$2:$B$8,2,0)</f>
        <v>Giay A4 500 to</v>
      </c>
      <c r="F12">
        <f>VLOOKUP(C12,SanPham!$A$2:$C$8,3,0)</f>
        <v>75000</v>
      </c>
      <c r="G12">
        <f t="shared" si="0"/>
        <v>75002</v>
      </c>
    </row>
    <row r="13" spans="1:7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VLOOKUP(C13,SanPham!$A$2:$B$8,2,0)</f>
        <v>Loc vo 5 quyen</v>
      </c>
      <c r="F13">
        <f>VLOOKUP(C13,SanPham!$A$2:$C$8,3,0)</f>
        <v>60000</v>
      </c>
      <c r="G13">
        <f t="shared" si="0"/>
        <v>60003</v>
      </c>
    </row>
    <row r="14" spans="1:7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VLOOKUP(C14,SanPham!$A$2:$B$8,2,0)</f>
        <v>Bo but bi 10 chiec</v>
      </c>
      <c r="F14">
        <f>VLOOKUP(C14,SanPham!$A$2:$C$8,3,0)</f>
        <v>35000</v>
      </c>
      <c r="G14">
        <f t="shared" si="0"/>
        <v>35005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VLOOKUP(C15,SanPham!$A$2:$B$8,2,0)</f>
        <v>Ke sach mini</v>
      </c>
      <c r="F15">
        <f>VLOOKUP(C15,SanPham!$A$2:$C$8,3,0)</f>
        <v>100000</v>
      </c>
      <c r="G15">
        <f t="shared" si="0"/>
        <v>100004</v>
      </c>
    </row>
    <row r="16" spans="1:7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VLOOKUP(C16,SanPham!$A$2:$B$8,2,0)</f>
        <v>Hop but da nang</v>
      </c>
      <c r="F16">
        <f>VLOOKUP(C16,SanPham!$A$2:$C$8,3,0)</f>
        <v>45000</v>
      </c>
      <c r="G16">
        <f t="shared" si="0"/>
        <v>45005</v>
      </c>
    </row>
  </sheetData>
  <autoFilter ref="A1:G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 minh chau</cp:lastModifiedBy>
  <dcterms:created xsi:type="dcterms:W3CDTF">2026-10-19T09:41:35Z</dcterms:created>
  <dcterms:modified xsi:type="dcterms:W3CDTF">2026-10-23T05:33:26Z</dcterms:modified>
</cp:coreProperties>
</file>